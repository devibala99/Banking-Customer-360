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Segement Data" sheetId="2" r:id="rId6"/>
    <sheet state="visible" name="Transaction Analysis" sheetId="3" r:id="rId7"/>
    <sheet state="visible" name="Loan Risk Analysis" sheetId="4" r:id="rId8"/>
    <sheet state="visible" name="Segment Value Distribution" sheetId="5" r:id="rId9"/>
    <sheet state="visible" name="Segment Performance" sheetId="6" r:id="rId10"/>
    <sheet state="visible" name="KPI Data" sheetId="7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<sst xmlns="http://schemas.openxmlformats.org/spreadsheetml/2006/main" count="97" uniqueCount="45">
  <si>
    <t>segment_name</t>
  </si>
  <si>
    <t>customers</t>
  </si>
  <si>
    <t>total_balance</t>
  </si>
  <si>
    <t>total_loan_amount</t>
  </si>
  <si>
    <t>transaction_value</t>
  </si>
  <si>
    <t>avg_credit_score</t>
  </si>
  <si>
    <t>avg_income</t>
  </si>
  <si>
    <t>avg_products</t>
  </si>
  <si>
    <t>customer_pct</t>
  </si>
  <si>
    <t>balance_pct</t>
  </si>
  <si>
    <t>loan_pct</t>
  </si>
  <si>
    <t>transaction_pct</t>
  </si>
  <si>
    <t>Core Banking Customers</t>
  </si>
  <si>
    <t>High-Service Customers</t>
  </si>
  <si>
    <t>High-Value Loan Customers</t>
  </si>
  <si>
    <t>Low Engagement Customers</t>
  </si>
  <si>
    <t>SUM of customers</t>
  </si>
  <si>
    <t>SUM of transaction_value</t>
  </si>
  <si>
    <t>SUM of transaction_pct</t>
  </si>
  <si>
    <t>SUM of total_loan_amount</t>
  </si>
  <si>
    <t>SUM of loan_pct</t>
  </si>
  <si>
    <t>Grand Total</t>
  </si>
  <si>
    <t>SUM of total_balance</t>
  </si>
  <si>
    <t>KPI</t>
  </si>
  <si>
    <t>Value</t>
  </si>
  <si>
    <t>Total Customers</t>
  </si>
  <si>
    <t>Total Customer Balance</t>
  </si>
  <si>
    <t>Total Loan Amount</t>
  </si>
  <si>
    <t>Total Transaction Value</t>
  </si>
  <si>
    <t>Loan Penetration</t>
  </si>
  <si>
    <t>Active Customer Rate</t>
  </si>
  <si>
    <t>SUM of customer_pct</t>
  </si>
  <si>
    <t>SUM of balance_pct</t>
  </si>
  <si>
    <t>Banking Customer 360 Analytics</t>
  </si>
  <si>
    <t>Executive Dashboard</t>
  </si>
  <si>
    <t>Segment Performance</t>
  </si>
  <si>
    <t>Segment</t>
  </si>
  <si>
    <t>Customers</t>
  </si>
  <si>
    <t>Customer %</t>
  </si>
  <si>
    <t>Total Balance</t>
  </si>
  <si>
    <t>Balance %</t>
  </si>
  <si>
    <t>Loan Amount</t>
  </si>
  <si>
    <t>Loan %</t>
  </si>
  <si>
    <t>Transaction Value</t>
  </si>
  <si>
    <t>Transaction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</si>
</sst>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,,&quot;M&quot;"/>
    <numFmt numFmtId="165" formatCode="0.00&quot;%&quot;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rgb="FF274E13"/>
      <name val="Arial"/>
      <scheme val="minor"/>
    </font>
    <font/>
    <font>
      <b/>
      <sz val="13.0"/>
      <color rgb="FF274E13"/>
      <name val="Arial"/>
      <scheme val="minor"/>
    </font>
    <font>
      <b/>
      <sz val="12.0"/>
      <color rgb="FF1C4587"/>
      <name val="Arial"/>
      <scheme val="minor"/>
    </font>
    <font>
      <b/>
      <sz val="14.0"/>
      <color rgb="FF1C4587"/>
      <name val="Arial"/>
      <scheme val="minor"/>
    </font>
    <font>
      <b/>
      <sz val="12.0"/>
      <color rgb="FF7F6000"/>
      <name val="Arial"/>
      <scheme val="minor"/>
    </font>
    <font>
      <b/>
      <sz val="10.0"/>
      <color rgb="FF351C75"/>
      <name val="Arial"/>
      <scheme val="minor"/>
    </font>
    <font>
      <b/>
      <color rgb="FF351C75"/>
      <name val="Arial"/>
      <scheme val="minor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2" xfId="0" applyFont="1" applyNumberFormat="1"/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1" fillId="2" fontId="4" numFmtId="0" xfId="0" applyAlignment="1" applyBorder="1" applyFill="1" applyFont="1">
      <alignment horizontal="center" readingOrder="0"/>
    </xf>
    <xf borderId="4" fillId="3" fontId="5" numFmtId="0" xfId="0" applyAlignment="1" applyBorder="1" applyFill="1" applyFont="1">
      <alignment horizontal="center" readingOrder="0"/>
    </xf>
    <xf borderId="5" fillId="0" fontId="3" numFmtId="0" xfId="0" applyBorder="1" applyFont="1"/>
    <xf borderId="6" fillId="3" fontId="6" numFmtId="3" xfId="0" applyAlignment="1" applyBorder="1" applyFill="1" applyFont="1" applyNumberFormat="1">
      <alignment horizontal="center"/>
    </xf>
    <xf borderId="7" fillId="0" fontId="3" numFmtId="0" xfId="0" applyBorder="1" applyFont="1"/>
    <xf borderId="6" fillId="3" fontId="6" numFmtId="164" xfId="0" applyAlignment="1" applyBorder="1" applyFill="1" applyFont="1" applyNumberFormat="1">
      <alignment horizontal="center"/>
    </xf>
    <xf borderId="6" fillId="3" fontId="6" numFmtId="165" xfId="0" applyAlignment="1" applyBorder="1" applyFill="1" applyFont="1" applyNumberFormat="1">
      <alignment horizontal="center"/>
    </xf>
    <xf borderId="1" fillId="4" fontId="7" numFmtId="0" xfId="0" applyAlignment="1" applyBorder="1" applyFill="1" applyFont="1">
      <alignment horizontal="center" readingOrder="0"/>
    </xf>
    <xf borderId="8" fillId="5" fontId="8" numFmtId="0" xfId="0" applyAlignment="1" applyBorder="1" applyFill="1" applyFont="1">
      <alignment horizontal="center" readingOrder="0"/>
    </xf>
    <xf borderId="8" fillId="5" fontId="9" numFmtId="0" xfId="0" applyAlignment="1" applyBorder="1" applyFill="1" applyFont="1">
      <alignment horizontal="center" readingOrder="0"/>
    </xf>
    <xf borderId="8" fillId="5" fontId="1" numFmtId="0" xfId="0" applyAlignment="1" applyBorder="1" applyFill="1" applyFont="1">
      <alignment horizontal="center" readingOrder="0"/>
    </xf>
    <xf borderId="8" fillId="5" fontId="1" numFmtId="3" xfId="0" applyAlignment="1" applyBorder="1" applyFill="1" applyFont="1" applyNumberFormat="1">
      <alignment horizontal="center" readingOrder="0"/>
    </xf>
    <xf borderId="8" fillId="5" fontId="1" numFmtId="10" xfId="0" applyAlignment="1" applyBorder="1" applyFill="1" applyFont="1" applyNumberFormat="1">
      <alignment horizontal="center" readingOrder="0"/>
    </xf>
    <xf borderId="8" fillId="5" fontId="1" numFmtId="164" xfId="0" applyAlignment="1" applyBorder="1" applyFill="1" applyFont="1" applyNumberFormat="1">
      <alignment horizontal="center" readingOrder="0"/>
    </xf>
    <xf borderId="8" fillId="5" fontId="10" numFmtId="0" xfId="0" applyAlignment="1" applyBorder="1" applyFill="1" applyFont="1">
      <alignment horizontal="center" readingOrder="0"/>
    </xf>
    <xf borderId="0" fillId="0" fontId="1" numFmtId="10" xfId="0" applyFont="1" applyNumberFormat="1"/>
    <xf borderId="0" fillId="0" fontId="10" numFmtId="0" xfId="0" applyFont="1"/>
    <xf borderId="0" fillId="0" fontId="1" numFmtId="164" xfId="0" applyFont="1" applyNumberFormat="1"/>
    <xf borderId="8" fillId="5" fontId="9" numFmtId="0" xfId="0" applyAlignment="1" applyBorder="1" applyFill="1" applyFont="1">
      <alignment readingOrder="0"/>
    </xf>
    <xf borderId="8" fillId="5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Customer Distribution by Segment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Dashboard!$B$11:$B$12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Dashboard!$A$13:$A$16</c:f>
            </c:strRef>
          </c:cat>
          <c:val>
            <c:numRef>
              <c:f>Dashboard!$B$13:$B$16</c:f>
              <c:numCache/>
            </c:numRef>
          </c:val>
        </c:ser>
        <c:axId val="977628418"/>
        <c:axId val="521673001"/>
      </c:barChart>
      <c:catAx>
        <c:axId val="9776284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1673001"/>
      </c:catAx>
      <c:valAx>
        <c:axId val="5216730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76284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Loan Exposure by Segment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Dashboard!$L$12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Dashboard!$K$13:$K$16</c:f>
            </c:strRef>
          </c:cat>
          <c:val>
            <c:numRef>
              <c:f>Dashboard!$L$13:$L$16</c:f>
              <c:numCache/>
            </c:numRef>
          </c:val>
        </c:ser>
        <c:axId val="1150926737"/>
        <c:axId val="893848748"/>
      </c:barChart>
      <c:catAx>
        <c:axId val="11509267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3848748"/>
      </c:catAx>
      <c:valAx>
        <c:axId val="8938487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Loan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09267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Transaction Value by Segment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Dashboard!$L$36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Dashboard!$K$37:$K$40</c:f>
            </c:strRef>
          </c:cat>
          <c:val>
            <c:numRef>
              <c:f>Dashboard!$L$37:$L$40</c:f>
              <c:numCache/>
            </c:numRef>
          </c:val>
        </c:ser>
        <c:axId val="1736134549"/>
        <c:axId val="562914308"/>
      </c:barChart>
      <c:catAx>
        <c:axId val="17361345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2914308"/>
      </c:catAx>
      <c:valAx>
        <c:axId val="5629143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Transaction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61345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Chart4.png"/><Relationship Id="rId5" Type="http://schemas.openxmlformats.org/officeDocument/2006/relationships/image" Target="../media/Chart5.png"/><Relationship Id="rId6" Type="http://schemas.openxmlformats.org/officeDocument/2006/relationships/image" Target="../media/Chart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18</xdr:row>
      <xdr:rowOff>9525</xdr:rowOff>
    </xdr:from>
    <xdr:ext cx="5172075" cy="31623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9525</xdr:colOff>
      <xdr:row>18</xdr:row>
      <xdr:rowOff>9525</xdr:rowOff>
    </xdr:from>
    <xdr:ext cx="3971925" cy="31623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9525</xdr:colOff>
      <xdr:row>42</xdr:row>
      <xdr:rowOff>9525</xdr:rowOff>
    </xdr:from>
    <xdr:ext cx="4067175" cy="31623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19050</xdr:colOff>
      <xdr:row>35</xdr:row>
      <xdr:rowOff>0</xdr:rowOff>
    </xdr:from>
    <xdr:ext cx="5172075" cy="3533775"/>
    <xdr:pic>
      <xdr:nvPicPr>
        <xdr:cNvPr id="239073835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323850</xdr:colOff>
      <xdr:row>35</xdr:row>
      <xdr:rowOff>0</xdr:rowOff>
    </xdr:from>
    <xdr:ext cx="5715000" cy="3533775"/>
    <xdr:pic>
      <xdr:nvPicPr>
        <xdr:cNvPr id="286150326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54</xdr:row>
      <xdr:rowOff>9525</xdr:rowOff>
    </xdr:from>
    <xdr:ext cx="5172075" cy="3533775"/>
    <xdr:pic>
      <xdr:nvPicPr>
        <xdr:cNvPr id="605787803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5" sheet="Segement Data"/>
  </cacheSource>
  <cacheFields>
    <cacheField name="segment_name" numFmtId="0">
      <sharedItems>
        <s v="Core Banking Customers"/>
        <s v="High-Service Customers"/>
        <s v="High-Value Loan Customers"/>
        <s v="Low Engagement Customers"/>
      </sharedItems>
    </cacheField>
    <cacheField name="customers" numFmtId="0">
      <sharedItems containsSemiMixedTypes="0" containsString="0" containsNumber="1" containsInteger="1">
        <n v="2295.0"/>
        <n v="1167.0"/>
        <n v="410.0"/>
        <n v="1128.0"/>
      </sharedItems>
    </cacheField>
    <cacheField name="total_balance" numFmtId="0">
      <sharedItems containsSemiMixedTypes="0" containsString="0" containsNumber="1">
        <n v="2.5171675562E8"/>
        <n v="1.2692123237E8"/>
        <n v="5.091760608E7"/>
        <n v="119554.48"/>
      </sharedItems>
    </cacheField>
    <cacheField name="total_loan_amount" numFmtId="0">
      <sharedItems containsSemiMixedTypes="0" containsString="0" containsNumber="1">
        <n v="1.563396474E8"/>
        <n v="9.55366884E7"/>
        <n v="4.8488535381E8"/>
        <n v="0.0"/>
      </sharedItems>
    </cacheField>
    <cacheField name="transaction_value" numFmtId="0">
      <sharedItems containsSemiMixedTypes="0" containsString="0" containsNumber="1">
        <n v="1.350400061E7"/>
        <n v="6934574.15"/>
        <n v="2449532.02"/>
        <n v="18356.43"/>
      </sharedItems>
    </cacheField>
    <cacheField name="avg_credit_score" numFmtId="0">
      <sharedItems containsSemiMixedTypes="0" containsString="0" containsNumber="1">
        <n v="649.827886710239"/>
        <n v="654.713796058269"/>
        <n v="652.463414634146"/>
        <n v="655.843971631205"/>
      </sharedItems>
    </cacheField>
    <cacheField name="avg_income" numFmtId="0">
      <sharedItems containsSemiMixedTypes="0" containsString="0" containsNumber="1">
        <n v="67067.7124183006"/>
        <n v="66526.0497000856"/>
        <n v="63246.5853658536"/>
        <n v="65032.8900709219"/>
      </sharedItems>
    </cacheField>
    <cacheField name="avg_products" numFmtId="0">
      <sharedItems containsSemiMixedTypes="0" containsString="0" containsNumber="1">
        <n v="2.29019607843137"/>
        <n v="2.33161953727506"/>
        <n v="3.55853658536585"/>
        <n v="0.5"/>
      </sharedItems>
    </cacheField>
    <cacheField name="customer_pct" numFmtId="0">
      <sharedItems containsSemiMixedTypes="0" containsString="0" containsNumber="1">
        <n v="45.9"/>
        <n v="23.34"/>
        <n v="8.2"/>
        <n v="22.56"/>
      </sharedItems>
    </cacheField>
    <cacheField name="balance_pct" numFmtId="0">
      <sharedItems containsSemiMixedTypes="0" containsString="0" containsNumber="1">
        <n v="58.5830380159183"/>
        <n v="29.5388813614922"/>
        <n v="11.8502562346993"/>
        <n v="0.0278243878901196"/>
      </sharedItems>
    </cacheField>
    <cacheField name="loan_pct" numFmtId="0">
      <sharedItems containsSemiMixedTypes="0" containsString="0" containsNumber="1">
        <n v="21.2198394141201"/>
        <n v="12.9671085979744"/>
        <n v="65.8130519879054"/>
        <n v="0.0"/>
      </sharedItems>
    </cacheField>
    <cacheField name="transaction_pct" numFmtId="0">
      <sharedItems containsSemiMixedTypes="0" containsString="0" containsNumber="1">
        <n v="58.9527963623154"/>
        <n v="30.273438926061"/>
        <n v="10.6936282460691"/>
        <n v="0.080136465554343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ransaction Analysis" cacheId="0" dataCaption="" compact="0" compactData="0">
  <location ref="A1:D6" firstHeaderRow="0" firstDataRow="2" firstDataCol="0"/>
  <pivotFields>
    <pivotField name="segment_name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customers" dataField="1" compact="0" outline="0" multipleItemSelectionAllowed="1" showAll="0">
      <items>
        <item x="0"/>
        <item x="1"/>
        <item x="2"/>
        <item x="3"/>
        <item t="default"/>
      </items>
    </pivotField>
    <pivotField name="total_balance" compact="0" outline="0" multipleItemSelectionAllowed="1" showAll="0">
      <items>
        <item x="0"/>
        <item x="1"/>
        <item x="2"/>
        <item x="3"/>
        <item t="default"/>
      </items>
    </pivotField>
    <pivotField name="total_loan_amount" compact="0" outline="0" multipleItemSelectionAllowed="1" showAll="0">
      <items>
        <item x="0"/>
        <item x="1"/>
        <item x="2"/>
        <item x="3"/>
        <item t="default"/>
      </items>
    </pivotField>
    <pivotField name="transaction_value" dataField="1" compact="0" outline="0" multipleItemSelectionAllowed="1" showAll="0">
      <items>
        <item x="0"/>
        <item x="1"/>
        <item x="2"/>
        <item x="3"/>
        <item t="default"/>
      </items>
    </pivotField>
    <pivotField name="avg_credit_score" compact="0" outline="0" multipleItemSelectionAllowed="1" showAll="0">
      <items>
        <item x="0"/>
        <item x="1"/>
        <item x="2"/>
        <item x="3"/>
        <item t="default"/>
      </items>
    </pivotField>
    <pivotField name="avg_income" compact="0" outline="0" multipleItemSelectionAllowed="1" showAll="0">
      <items>
        <item x="0"/>
        <item x="1"/>
        <item x="2"/>
        <item x="3"/>
        <item t="default"/>
      </items>
    </pivotField>
    <pivotField name="avg_products" compact="0" outline="0" multipleItemSelectionAllowed="1" showAll="0">
      <items>
        <item x="0"/>
        <item x="1"/>
        <item x="2"/>
        <item x="3"/>
        <item t="default"/>
      </items>
    </pivotField>
    <pivotField name="customer_pct" compact="0" outline="0" multipleItemSelectionAllowed="1" showAll="0">
      <items>
        <item x="0"/>
        <item x="1"/>
        <item x="2"/>
        <item x="3"/>
        <item t="default"/>
      </items>
    </pivotField>
    <pivotField name="balance_pct" compact="0" outline="0" multipleItemSelectionAllowed="1" showAll="0">
      <items>
        <item x="0"/>
        <item x="1"/>
        <item x="2"/>
        <item x="3"/>
        <item t="default"/>
      </items>
    </pivotField>
    <pivotField name="loan_pct" compact="0" outline="0" multipleItemSelectionAllowed="1" showAll="0">
      <items>
        <item x="0"/>
        <item x="1"/>
        <item x="2"/>
        <item x="3"/>
        <item t="default"/>
      </items>
    </pivotField>
    <pivotField name="transaction_pct" dataField="1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0"/>
  </rowFields>
  <colFields>
    <field x="-2"/>
  </colFields>
  <dataFields>
    <dataField name="SUM of customers" fld="1" baseField="0"/>
    <dataField name="SUM of transaction_value" fld="4" baseField="0"/>
    <dataField name="SUM of transaction_pct" fld="11" baseField="0"/>
  </dataFields>
</pivotTableDefinition>
</file>

<file path=xl/pivotTables/pivotTable2.xml><?xml version="1.0" encoding="utf-8"?>
<pivotTableDefinition xmlns="http://schemas.openxmlformats.org/spreadsheetml/2006/main" name="Loan Risk Analysis" cacheId="0" dataCaption="" compact="0" compactData="0">
  <location ref="A1:D6" firstHeaderRow="0" firstDataRow="2" firstDataCol="0"/>
  <pivotFields>
    <pivotField name="segment_name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customers" dataField="1" compact="0" outline="0" multipleItemSelectionAllowed="1" showAll="0">
      <items>
        <item x="0"/>
        <item x="1"/>
        <item x="2"/>
        <item x="3"/>
        <item t="default"/>
      </items>
    </pivotField>
    <pivotField name="total_balance" compact="0" outline="0" multipleItemSelectionAllowed="1" showAll="0">
      <items>
        <item x="0"/>
        <item x="1"/>
        <item x="2"/>
        <item x="3"/>
        <item t="default"/>
      </items>
    </pivotField>
    <pivotField name="total_loan_amount" dataField="1" compact="0" outline="0" multipleItemSelectionAllowed="1" showAll="0">
      <items>
        <item x="0"/>
        <item x="1"/>
        <item x="2"/>
        <item x="3"/>
        <item t="default"/>
      </items>
    </pivotField>
    <pivotField name="transaction_value" compact="0" outline="0" multipleItemSelectionAllowed="1" showAll="0">
      <items>
        <item x="0"/>
        <item x="1"/>
        <item x="2"/>
        <item x="3"/>
        <item t="default"/>
      </items>
    </pivotField>
    <pivotField name="avg_credit_score" compact="0" outline="0" multipleItemSelectionAllowed="1" showAll="0">
      <items>
        <item x="0"/>
        <item x="1"/>
        <item x="2"/>
        <item x="3"/>
        <item t="default"/>
      </items>
    </pivotField>
    <pivotField name="avg_income" compact="0" outline="0" multipleItemSelectionAllowed="1" showAll="0">
      <items>
        <item x="0"/>
        <item x="1"/>
        <item x="2"/>
        <item x="3"/>
        <item t="default"/>
      </items>
    </pivotField>
    <pivotField name="avg_products" compact="0" outline="0" multipleItemSelectionAllowed="1" showAll="0">
      <items>
        <item x="0"/>
        <item x="1"/>
        <item x="2"/>
        <item x="3"/>
        <item t="default"/>
      </items>
    </pivotField>
    <pivotField name="customer_pct" compact="0" outline="0" multipleItemSelectionAllowed="1" showAll="0">
      <items>
        <item x="0"/>
        <item x="1"/>
        <item x="2"/>
        <item x="3"/>
        <item t="default"/>
      </items>
    </pivotField>
    <pivotField name="balance_pct" compact="0" outline="0" multipleItemSelectionAllowed="1" showAll="0">
      <items>
        <item x="0"/>
        <item x="1"/>
        <item x="2"/>
        <item x="3"/>
        <item t="default"/>
      </items>
    </pivotField>
    <pivotField name="loan_pct" dataField="1" compact="0" outline="0" multipleItemSelectionAllowed="1" showAll="0">
      <items>
        <item x="0"/>
        <item x="1"/>
        <item x="2"/>
        <item x="3"/>
        <item t="default"/>
      </items>
    </pivotField>
    <pivotField name="transaction_pct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0"/>
  </rowFields>
  <colFields>
    <field x="-2"/>
  </colFields>
  <dataFields>
    <dataField name="SUM of customers" fld="1" baseField="0"/>
    <dataField name="SUM of total_loan_amount" fld="3" baseField="0"/>
    <dataField name="SUM of loan_pct" fld="10" baseField="0"/>
  </dataFields>
</pivotTableDefinition>
</file>

<file path=xl/pivotTables/pivotTable3.xml><?xml version="1.0" encoding="utf-8"?>
<pivotTableDefinition xmlns="http://schemas.openxmlformats.org/spreadsheetml/2006/main" name="Segment Value Distribution" cacheId="0" dataCaption="" compact="0" compactData="0">
  <location ref="A1:F6" firstHeaderRow="0" firstDataRow="2" firstDataCol="0"/>
  <pivotFields>
    <pivotField name="segment_name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customers" dataField="1" compact="0" outline="0" multipleItemSelectionAllowed="1" showAll="0">
      <items>
        <item x="0"/>
        <item x="1"/>
        <item x="2"/>
        <item x="3"/>
        <item t="default"/>
      </items>
    </pivotField>
    <pivotField name="total_balance" compact="0" outline="0" multipleItemSelectionAllowed="1" showAll="0">
      <items>
        <item x="0"/>
        <item x="1"/>
        <item x="2"/>
        <item x="3"/>
        <item t="default"/>
      </items>
    </pivotField>
    <pivotField name="total_loan_amount" compact="0" outline="0" multipleItemSelectionAllowed="1" showAll="0">
      <items>
        <item x="0"/>
        <item x="1"/>
        <item x="2"/>
        <item x="3"/>
        <item t="default"/>
      </items>
    </pivotField>
    <pivotField name="transaction_value" compact="0" outline="0" multipleItemSelectionAllowed="1" showAll="0">
      <items>
        <item x="0"/>
        <item x="1"/>
        <item x="2"/>
        <item x="3"/>
        <item t="default"/>
      </items>
    </pivotField>
    <pivotField name="avg_credit_score" compact="0" outline="0" multipleItemSelectionAllowed="1" showAll="0">
      <items>
        <item x="0"/>
        <item x="1"/>
        <item x="2"/>
        <item x="3"/>
        <item t="default"/>
      </items>
    </pivotField>
    <pivotField name="avg_income" compact="0" outline="0" multipleItemSelectionAllowed="1" showAll="0">
      <items>
        <item x="0"/>
        <item x="1"/>
        <item x="2"/>
        <item x="3"/>
        <item t="default"/>
      </items>
    </pivotField>
    <pivotField name="avg_products" compact="0" outline="0" multipleItemSelectionAllowed="1" showAll="0">
      <items>
        <item x="0"/>
        <item x="1"/>
        <item x="2"/>
        <item x="3"/>
        <item t="default"/>
      </items>
    </pivotField>
    <pivotField name="customer_pct" dataField="1" compact="0" outline="0" multipleItemSelectionAllowed="1" showAll="0">
      <items>
        <item x="0"/>
        <item x="1"/>
        <item x="2"/>
        <item x="3"/>
        <item t="default"/>
      </items>
    </pivotField>
    <pivotField name="balance_pct" dataField="1" compact="0" outline="0" multipleItemSelectionAllowed="1" showAll="0">
      <items>
        <item x="0"/>
        <item x="1"/>
        <item x="2"/>
        <item x="3"/>
        <item t="default"/>
      </items>
    </pivotField>
    <pivotField name="loan_pct" dataField="1" compact="0" outline="0" multipleItemSelectionAllowed="1" showAll="0">
      <items>
        <item x="0"/>
        <item x="1"/>
        <item x="2"/>
        <item x="3"/>
        <item t="default"/>
      </items>
    </pivotField>
    <pivotField name="transaction_pct" dataField="1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0"/>
  </rowFields>
  <colFields>
    <field x="-2"/>
  </colFields>
  <dataFields>
    <dataField name="SUM of customers" fld="1" baseField="0"/>
    <dataField name="SUM of customer_pct" fld="8" baseField="0"/>
    <dataField name="SUM of balance_pct" fld="9" baseField="0"/>
    <dataField name="SUM of loan_pct" fld="10" baseField="0"/>
    <dataField name="SUM of transaction_pct" fld="11" baseField="0"/>
  </dataFields>
</pivotTableDefinition>
</file>

<file path=xl/pivotTables/pivotTable4.xml><?xml version="1.0" encoding="utf-8"?>
<pivotTableDefinition xmlns="http://schemas.openxmlformats.org/spreadsheetml/2006/main" name="Segment Performance" cacheId="0" dataCaption="" compact="0" compactData="0">
  <location ref="A1:E6" firstHeaderRow="0" firstDataRow="2" firstDataCol="0"/>
  <pivotFields>
    <pivotField name="segment_name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customers" dataField="1" compact="0" outline="0" multipleItemSelectionAllowed="1" showAll="0">
      <items>
        <item x="0"/>
        <item x="1"/>
        <item x="2"/>
        <item x="3"/>
        <item t="default"/>
      </items>
    </pivotField>
    <pivotField name="total_balance" dataField="1" compact="0" outline="0" multipleItemSelectionAllowed="1" showAll="0">
      <items>
        <item x="0"/>
        <item x="1"/>
        <item x="2"/>
        <item x="3"/>
        <item t="default"/>
      </items>
    </pivotField>
    <pivotField name="total_loan_amount" dataField="1" compact="0" outline="0" multipleItemSelectionAllowed="1" showAll="0">
      <items>
        <item x="0"/>
        <item x="1"/>
        <item x="2"/>
        <item x="3"/>
        <item t="default"/>
      </items>
    </pivotField>
    <pivotField name="transaction_value" dataField="1" compact="0" outline="0" multipleItemSelectionAllowed="1" showAll="0">
      <items>
        <item x="0"/>
        <item x="1"/>
        <item x="2"/>
        <item x="3"/>
        <item t="default"/>
      </items>
    </pivotField>
    <pivotField name="avg_credit_score" compact="0" outline="0" multipleItemSelectionAllowed="1" showAll="0">
      <items>
        <item x="0"/>
        <item x="1"/>
        <item x="2"/>
        <item x="3"/>
        <item t="default"/>
      </items>
    </pivotField>
    <pivotField name="avg_income" compact="0" outline="0" multipleItemSelectionAllowed="1" showAll="0">
      <items>
        <item x="0"/>
        <item x="1"/>
        <item x="2"/>
        <item x="3"/>
        <item t="default"/>
      </items>
    </pivotField>
    <pivotField name="avg_products" compact="0" outline="0" multipleItemSelectionAllowed="1" showAll="0">
      <items>
        <item x="0"/>
        <item x="1"/>
        <item x="2"/>
        <item x="3"/>
        <item t="default"/>
      </items>
    </pivotField>
    <pivotField name="customer_pct" compact="0" outline="0" multipleItemSelectionAllowed="1" showAll="0">
      <items>
        <item x="0"/>
        <item x="1"/>
        <item x="2"/>
        <item x="3"/>
        <item t="default"/>
      </items>
    </pivotField>
    <pivotField name="balance_pct" compact="0" outline="0" multipleItemSelectionAllowed="1" showAll="0">
      <items>
        <item x="0"/>
        <item x="1"/>
        <item x="2"/>
        <item x="3"/>
        <item t="default"/>
      </items>
    </pivotField>
    <pivotField name="loan_pct" compact="0" outline="0" multipleItemSelectionAllowed="1" showAll="0">
      <items>
        <item x="0"/>
        <item x="1"/>
        <item x="2"/>
        <item x="3"/>
        <item t="default"/>
      </items>
    </pivotField>
    <pivotField name="transaction_pct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0"/>
  </rowFields>
  <colFields>
    <field x="-2"/>
  </colFields>
  <dataFields>
    <dataField name="SUM of customers" fld="1" baseField="0"/>
    <dataField name="SUM of total_balance" fld="2" baseField="0"/>
    <dataField name="SUM of total_loan_amount" fld="3" baseField="0"/>
    <dataField name="SUM of transaction_value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4" max="4" width="19.75"/>
    <col customWidth="1" min="8" max="8" width="17.38"/>
    <col customWidth="1" min="11" max="11" width="23.5"/>
    <col customWidth="1" min="12" max="12" width="16.75"/>
  </cols>
  <sheetData>
    <row r="1" ht="22.5" customHeight="1">
      <c r="A1" s="4" t="s">
        <v>33</v>
      </c>
      <c r="B1" s="5"/>
      <c r="C1" s="5"/>
      <c r="D1" s="5"/>
      <c r="E1" s="5"/>
      <c r="F1" s="5"/>
      <c r="G1" s="5"/>
      <c r="H1" s="6"/>
    </row>
    <row r="2">
      <c r="A2" s="7" t="s">
        <v>34</v>
      </c>
      <c r="B2" s="5"/>
      <c r="C2" s="5"/>
      <c r="D2" s="5"/>
      <c r="E2" s="5"/>
      <c r="F2" s="5"/>
      <c r="G2" s="5"/>
      <c r="H2" s="6"/>
    </row>
    <row r="4">
      <c r="A4" s="8" t="s">
        <v>25</v>
      </c>
      <c r="B4" s="9"/>
      <c r="C4" s="8" t="s">
        <v>26</v>
      </c>
      <c r="D4" s="9"/>
      <c r="E4" s="8" t="s">
        <v>27</v>
      </c>
      <c r="F4" s="9"/>
      <c r="G4" s="8" t="s">
        <v>28</v>
      </c>
      <c r="H4" s="9"/>
    </row>
    <row r="5" ht="37.5" customHeight="1">
      <c r="A5" s="10">
        <f>VLOOKUP("Total Customers",'KPI Data'!A:B,2,FALSE)</f>
        <v>5000</v>
      </c>
      <c r="B5" s="11"/>
      <c r="C5" s="12">
        <f>VLOOKUP("Total Customer Balance",'KPI Data'!A:B,2,FALSE)</f>
        <v>429675148.5</v>
      </c>
      <c r="D5" s="11"/>
      <c r="E5" s="12">
        <f>VLOOKUP("Total Loan Amount",'KPI Data'!A:B,2,FALSE)</f>
        <v>736761689.6</v>
      </c>
      <c r="F5" s="11"/>
      <c r="G5" s="12">
        <f>VLOOKUP("Total Transaction Value",'KPI Data'!A:B,2,FALSE)</f>
        <v>22906463.21</v>
      </c>
      <c r="H5" s="11"/>
    </row>
    <row r="7">
      <c r="A7" s="8" t="s">
        <v>29</v>
      </c>
      <c r="B7" s="9"/>
      <c r="C7" s="8" t="s">
        <v>30</v>
      </c>
      <c r="D7" s="9"/>
    </row>
    <row r="8" ht="37.5" customHeight="1">
      <c r="A8" s="13">
        <f>VLOOKUP("Loan Penetration",'KPI Data'!A:B,2,FALSE)</f>
        <v>30.38</v>
      </c>
      <c r="B8" s="11"/>
      <c r="C8" s="13">
        <f>VLOOKUP("Active Customer Rate",'KPI Data'!A:B,2,FALSE)</f>
        <v>72.88</v>
      </c>
      <c r="D8" s="11"/>
    </row>
    <row r="11">
      <c r="A11" s="14" t="s">
        <v>35</v>
      </c>
      <c r="B11" s="5"/>
      <c r="C11" s="5"/>
      <c r="D11" s="5"/>
      <c r="E11" s="5"/>
      <c r="F11" s="5"/>
      <c r="G11" s="5"/>
      <c r="H11" s="5"/>
      <c r="I11" s="6"/>
    </row>
    <row r="12">
      <c r="A12" s="15" t="s">
        <v>36</v>
      </c>
      <c r="B12" s="15" t="s">
        <v>37</v>
      </c>
      <c r="C12" s="15" t="s">
        <v>38</v>
      </c>
      <c r="D12" s="15" t="s">
        <v>39</v>
      </c>
      <c r="E12" s="15" t="s">
        <v>40</v>
      </c>
      <c r="F12" s="15" t="s">
        <v>41</v>
      </c>
      <c r="G12" s="15" t="s">
        <v>42</v>
      </c>
      <c r="H12" s="15" t="s">
        <v>43</v>
      </c>
      <c r="I12" s="15" t="s">
        <v>44</v>
      </c>
      <c r="K12" s="16" t="s">
        <v>36</v>
      </c>
      <c r="L12" s="16" t="s">
        <v>41</v>
      </c>
    </row>
    <row r="13">
      <c r="A13" s="17" t="s">
        <v>12</v>
      </c>
      <c r="B13" s="18">
        <v>2295.0</v>
      </c>
      <c r="C13" s="19">
        <v>0.459</v>
      </c>
      <c r="D13" s="20">
        <v>2.517167556E8</v>
      </c>
      <c r="E13" s="19">
        <v>0.5858</v>
      </c>
      <c r="F13" s="20">
        <v>1.563396474E8</v>
      </c>
      <c r="G13" s="19">
        <v>0.2122</v>
      </c>
      <c r="H13" s="20">
        <v>1.350400061E7</v>
      </c>
      <c r="I13" s="19">
        <v>0.5895</v>
      </c>
      <c r="K13" s="21" t="s">
        <v>12</v>
      </c>
      <c r="L13" s="21">
        <v>1.563396474E8</v>
      </c>
    </row>
    <row r="14">
      <c r="A14" s="17" t="s">
        <v>13</v>
      </c>
      <c r="B14" s="18">
        <v>1167.0</v>
      </c>
      <c r="C14" s="19">
        <v>0.2334</v>
      </c>
      <c r="D14" s="20">
        <v>1.269212324E8</v>
      </c>
      <c r="E14" s="19">
        <v>0.2954</v>
      </c>
      <c r="F14" s="20">
        <v>9.55366884E7</v>
      </c>
      <c r="G14" s="19">
        <v>0.1297</v>
      </c>
      <c r="H14" s="20">
        <v>6934574.15</v>
      </c>
      <c r="I14" s="19">
        <v>0.3027</v>
      </c>
      <c r="K14" s="21" t="s">
        <v>13</v>
      </c>
      <c r="L14" s="21">
        <v>9.55366884E7</v>
      </c>
    </row>
    <row r="15">
      <c r="A15" s="17" t="s">
        <v>14</v>
      </c>
      <c r="B15" s="18">
        <v>410.0</v>
      </c>
      <c r="C15" s="19">
        <v>0.082</v>
      </c>
      <c r="D15" s="20">
        <v>5.091760608E7</v>
      </c>
      <c r="E15" s="19">
        <v>0.1185</v>
      </c>
      <c r="F15" s="20">
        <v>4.848853538E8</v>
      </c>
      <c r="G15" s="19">
        <v>0.6581</v>
      </c>
      <c r="H15" s="20">
        <v>2449532.02</v>
      </c>
      <c r="I15" s="19">
        <v>0.1069</v>
      </c>
      <c r="K15" s="21" t="s">
        <v>14</v>
      </c>
      <c r="L15" s="21">
        <v>4.848853538E8</v>
      </c>
    </row>
    <row r="16">
      <c r="A16" s="17" t="s">
        <v>15</v>
      </c>
      <c r="B16" s="18">
        <v>1128.0</v>
      </c>
      <c r="C16" s="19">
        <v>0.2256</v>
      </c>
      <c r="D16" s="20">
        <v>119554.48</v>
      </c>
      <c r="E16" s="19">
        <v>3.0E-4</v>
      </c>
      <c r="F16" s="20">
        <v>0.0</v>
      </c>
      <c r="G16" s="19">
        <v>0.0</v>
      </c>
      <c r="H16" s="20">
        <v>18356.43</v>
      </c>
      <c r="I16" s="19">
        <v>8.0E-4</v>
      </c>
      <c r="K16" s="21" t="s">
        <v>15</v>
      </c>
      <c r="L16" s="21">
        <v>0.0</v>
      </c>
    </row>
    <row r="17">
      <c r="D17" s="22"/>
      <c r="K17" s="23"/>
      <c r="L17" s="23"/>
    </row>
    <row r="18">
      <c r="I18" s="24"/>
    </row>
    <row r="36">
      <c r="K36" s="25" t="s">
        <v>36</v>
      </c>
      <c r="L36" s="25" t="s">
        <v>43</v>
      </c>
    </row>
    <row r="37">
      <c r="K37" s="26" t="s">
        <v>12</v>
      </c>
      <c r="L37" s="26">
        <v>1.350400061E7</v>
      </c>
    </row>
    <row r="38">
      <c r="K38" s="26" t="s">
        <v>13</v>
      </c>
      <c r="L38" s="26">
        <v>6934574.15</v>
      </c>
    </row>
    <row r="39">
      <c r="K39" s="26" t="s">
        <v>14</v>
      </c>
      <c r="L39" s="26">
        <v>2449532.02</v>
      </c>
    </row>
    <row r="40">
      <c r="K40" s="26" t="s">
        <v>15</v>
      </c>
      <c r="L40" s="26">
        <v>18356.43</v>
      </c>
    </row>
  </sheetData>
  <mergeCells count="15">
    <mergeCell ref="C5:D5"/>
    <mergeCell ref="E5:F5"/>
    <mergeCell ref="A7:B7"/>
    <mergeCell ref="C7:D7"/>
    <mergeCell ref="A8:B8"/>
    <mergeCell ref="C8:D8"/>
    <mergeCell ref="A11:I11"/>
    <mergeCell ref="A1:H1"/>
    <mergeCell ref="A2:H2"/>
    <mergeCell ref="A4:B4"/>
    <mergeCell ref="C4:D4"/>
    <mergeCell ref="E4:F4"/>
    <mergeCell ref="G4:H4"/>
    <mergeCell ref="A5:B5"/>
    <mergeCell ref="G5:H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2295.0</v>
      </c>
      <c r="C2" s="1">
        <v>2.5171675562E8</v>
      </c>
      <c r="D2" s="1">
        <v>1.563396474E8</v>
      </c>
      <c r="E2" s="1">
        <v>1.350400061E7</v>
      </c>
      <c r="F2" s="1">
        <v>649.827886710239</v>
      </c>
      <c r="G2" s="1">
        <v>67067.7124183006</v>
      </c>
      <c r="H2" s="1">
        <v>2.29019607843137</v>
      </c>
      <c r="I2" s="1">
        <v>45.9</v>
      </c>
      <c r="J2" s="1">
        <v>58.5830380159183</v>
      </c>
      <c r="K2" s="1">
        <v>21.2198394141201</v>
      </c>
      <c r="L2" s="1">
        <v>58.9527963623154</v>
      </c>
    </row>
    <row r="3">
      <c r="A3" s="1" t="s">
        <v>13</v>
      </c>
      <c r="B3" s="1">
        <v>1167.0</v>
      </c>
      <c r="C3" s="1">
        <v>1.2692123237E8</v>
      </c>
      <c r="D3" s="1">
        <v>9.55366884E7</v>
      </c>
      <c r="E3" s="1">
        <v>6934574.15</v>
      </c>
      <c r="F3" s="1">
        <v>654.713796058269</v>
      </c>
      <c r="G3" s="1">
        <v>66526.0497000856</v>
      </c>
      <c r="H3" s="1">
        <v>2.33161953727506</v>
      </c>
      <c r="I3" s="1">
        <v>23.34</v>
      </c>
      <c r="J3" s="1">
        <v>29.5388813614922</v>
      </c>
      <c r="K3" s="1">
        <v>12.9671085979744</v>
      </c>
      <c r="L3" s="1">
        <v>30.273438926061</v>
      </c>
    </row>
    <row r="4">
      <c r="A4" s="1" t="s">
        <v>14</v>
      </c>
      <c r="B4" s="1">
        <v>410.0</v>
      </c>
      <c r="C4" s="1">
        <v>5.091760608E7</v>
      </c>
      <c r="D4" s="1">
        <v>4.8488535381E8</v>
      </c>
      <c r="E4" s="1">
        <v>2449532.02</v>
      </c>
      <c r="F4" s="1">
        <v>652.463414634146</v>
      </c>
      <c r="G4" s="1">
        <v>63246.5853658536</v>
      </c>
      <c r="H4" s="1">
        <v>3.55853658536585</v>
      </c>
      <c r="I4" s="1">
        <v>8.2</v>
      </c>
      <c r="J4" s="1">
        <v>11.8502562346993</v>
      </c>
      <c r="K4" s="1">
        <v>65.8130519879054</v>
      </c>
      <c r="L4" s="1">
        <v>10.6936282460691</v>
      </c>
    </row>
    <row r="5">
      <c r="A5" s="1" t="s">
        <v>15</v>
      </c>
      <c r="B5" s="1">
        <v>1128.0</v>
      </c>
      <c r="C5" s="1">
        <v>119554.48</v>
      </c>
      <c r="D5" s="1">
        <v>0.0</v>
      </c>
      <c r="E5" s="1">
        <v>18356.43</v>
      </c>
      <c r="F5" s="1">
        <v>655.843971631205</v>
      </c>
      <c r="G5" s="1">
        <v>65032.8900709219</v>
      </c>
      <c r="H5" s="1">
        <v>0.5</v>
      </c>
      <c r="I5" s="1">
        <v>22.56</v>
      </c>
      <c r="J5" s="1">
        <v>0.0278243878901196</v>
      </c>
      <c r="K5" s="1">
        <v>0.0</v>
      </c>
      <c r="L5" s="1">
        <v>0.0801364655543434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0"/>
    <col customWidth="1" min="3" max="3" width="19.5"/>
    <col customWidth="1" min="4" max="4" width="19.13"/>
    <col customWidth="1" min="5" max="5" width="16.88"/>
    <col customWidth="1" min="6" max="6" width="16.75"/>
  </cols>
  <sheetData>
    <row r="1"/>
    <row r="2"/>
    <row r="3"/>
    <row r="4"/>
    <row r="5"/>
    <row r="6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63"/>
    <col customWidth="1" min="2" max="2" width="21.88"/>
    <col customWidth="1" min="3" max="3" width="20.13"/>
    <col customWidth="1" min="4" max="4" width="24.38"/>
    <col customWidth="1" min="5" max="5" width="17.25"/>
  </cols>
  <sheetData>
    <row r="1"/>
    <row r="2"/>
    <row r="3"/>
    <row r="4"/>
    <row r="5"/>
    <row r="6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</v>
      </c>
      <c r="B1" s="1" t="s">
        <v>24</v>
      </c>
    </row>
    <row r="2">
      <c r="A2" s="1" t="s">
        <v>25</v>
      </c>
      <c r="B2" s="1">
        <v>5000.0</v>
      </c>
    </row>
    <row r="3">
      <c r="A3" s="1" t="s">
        <v>26</v>
      </c>
      <c r="B3" s="1">
        <v>4.29675148549999E8</v>
      </c>
    </row>
    <row r="4">
      <c r="A4" s="1" t="s">
        <v>27</v>
      </c>
      <c r="B4" s="1">
        <v>7.36761689609999E8</v>
      </c>
    </row>
    <row r="5">
      <c r="A5" s="1" t="s">
        <v>28</v>
      </c>
      <c r="B5" s="1">
        <v>2.290646321E7</v>
      </c>
    </row>
    <row r="6">
      <c r="A6" s="1" t="s">
        <v>29</v>
      </c>
      <c r="B6" s="1">
        <v>30.38</v>
      </c>
    </row>
    <row r="7">
      <c r="A7" s="1" t="s">
        <v>30</v>
      </c>
      <c r="B7" s="1">
        <v>72.88</v>
      </c>
    </row>
  </sheetData>
  <drawing r:id="rId1"/>
</worksheet>
</file>